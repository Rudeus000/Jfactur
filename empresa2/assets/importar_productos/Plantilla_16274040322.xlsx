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27BF0A10-FEB0-40A9-91BC-E17427B92AA7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D12" i="6"/>
  <c r="B12" i="6"/>
  <c r="J11" i="6"/>
  <c r="H11" i="6"/>
  <c r="D11" i="6"/>
  <c r="B11" i="6"/>
  <c r="J10" i="6"/>
  <c r="H10" i="6"/>
  <c r="D10" i="6"/>
  <c r="B10" i="6"/>
  <c r="J9" i="6"/>
  <c r="H9" i="6"/>
  <c r="D9" i="6"/>
  <c r="B9" i="6"/>
  <c r="J8" i="6"/>
  <c r="H8" i="6"/>
  <c r="D8" i="6"/>
  <c r="B8" i="6"/>
  <c r="J7" i="6"/>
  <c r="H7" i="6"/>
  <c r="D7" i="6"/>
  <c r="B7" i="6"/>
  <c r="J6" i="6"/>
  <c r="H6" i="6"/>
  <c r="D6" i="6"/>
  <c r="B6" i="6"/>
  <c r="J5" i="6"/>
  <c r="H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<sst xmlns="http://schemas.openxmlformats.org/spreadsheetml/2006/main" count="130" uniqueCount="110">
  <si>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</si>
  <si>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</si>
  <si>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</si>
  <si>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</si>
  <si>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</si>
  <si>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</si>
  <si>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</si>
  <si>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</si>
  <si>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</si>
  <si>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</si>
  <si>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</si>
  <si>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</si>
  <si>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</si>
  <si>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</si>
  <si>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</si>
  <si>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</si>
  <si>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</si>
  <si>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</si>
  <si>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</si>
  <si>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</si>
  <si>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</si>
  <si>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</si>
  <si>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</si>
  <si>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</si>
  <si>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</si>
  <si>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</si>
  <si>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</si>
  <si>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</si>
  <si>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</si>
  <si>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</si>
  <si>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</si>
  <si>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</si>
  <si>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</si>
  <si>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</si>
  <si>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</si>
  <si>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</si>
  <si>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</si>
  <si>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</si>
  <si>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</si>
  <si>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</si>
  <si>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</si>
  <si>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</si>
  <si>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</si>
  <si>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</si>
  <si>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</si>
  <si>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</si>
  <si>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</si>
  <si>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</si>
  <si>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</si>
  <si>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</si>
  <si>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</si>
  <si>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</si>
  <si>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</si>
  <si>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</si>
  <si>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</si>
  <si>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</si>
  <si>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</si>
  <si>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</si>
  <si>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</si>
  <si>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</si>
  <si>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</si>
  <si>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</si>
  <si>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</si>
  <si>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</si>
  <si>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</si>
  <si>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</si>
  <si>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</si>
  <si>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</si>
  <si>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</si>
  <si>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</si>
  <si>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</si>
  <si>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</si>
  <si>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</si>
  <si>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</si>
  <si>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</si>
  <si>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</si>
  <si>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</si>
  <si>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</si>
  <si>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</si>
  <si>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</si>
  <si>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</si>
  <si>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</si>
  <si>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</si>
  <si>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</si>
  <si>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</si>
  <si>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</si>
  <si>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</si>
  <si>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</si>
  <si>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</si>
  <si>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</si>
  <si>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</si>
  <si>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</si>
  <si>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</si>
  <si>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</si>
  <si>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</si>
  <si>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</si>
  <si>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</si>
  <si>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</si>
  <si>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</si>
  <si>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</si>
  <si>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</si>
  <si>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</si>
  <si>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</si>
  <si>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ABC123</t>
  </si>
  <si>
    <t xml:space="preserve">GRABADO </t>
  </si>
  <si>
    <t>2 - UNIDADES</t>
  </si>
  <si>
    <t xml:space="preserve">MANAZANA </t>
  </si>
  <si>
    <t>PERA</t>
  </si>
  <si>
    <t>IPHONE 12 MAX PRO 512 GB</t>
  </si>
  <si>
    <t>352121018855221|352121018855223|352121018855222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</si>
</sst>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0" borderId="0" xfId="0" applyNumberFormat="1"/>
    <xf numFmtId="0" fontId="2" fillId="0" borderId="0" xfId="0" applyFont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Q12" sqref="Q12"/>
    </sheetView>
  </sheetViews>
  <sheetFormatPr baseColWidth="10" defaultColWidth="9.140625" defaultRowHeight="15" x14ac:dyDescent="0.25"/>
  <cols>
    <col min="1" max="1" width="21.85546875" bestFit="1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9" style="3" bestFit="1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2" t="s">
        <v>100</v>
      </c>
      <c r="S1" s="1" t="s">
        <v>101</v>
      </c>
      <c r="T1" s="1" t="s">
        <v>102</v>
      </c>
    </row>
    <row r="2" spans="1:20" x14ac:dyDescent="0.25">
      <c r="A2" t="s">
        <v>3</v>
      </c>
      <c r="B2">
        <f>VLOOKUP(A2,ALMACENES!A2:B3,2,FALSE)</f>
        <v>8</v>
      </c>
      <c r="C2" t="s">
        <v>30</v>
      </c>
      <c r="D2">
        <f>VLOOKUP(C2,MARCAS!A2:B36,2,FALSE)</f>
        <v>38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108</v>
      </c>
      <c r="L2">
        <v>2000</v>
      </c>
      <c r="M2">
        <v>3000</v>
      </c>
      <c r="N2">
        <v>3000</v>
      </c>
      <c r="O2">
        <v>3000</v>
      </c>
      <c r="P2">
        <v>3</v>
      </c>
      <c r="Q2">
        <v>1</v>
      </c>
      <c r="R2" s="5" t="s">
        <v>109</v>
      </c>
      <c r="S2" s="4" t="s">
        <v>103</v>
      </c>
      <c r="T2" s="4" t="s">
        <v>104</v>
      </c>
    </row>
    <row r="3" spans="1:20" x14ac:dyDescent="0.25">
      <c r="A3" t="s">
        <v>2</v>
      </c>
      <c r="B3">
        <f>VLOOKUP(A3,ALMACENES!A2:B3,2,FALSE)</f>
        <v>7</v>
      </c>
      <c r="C3" t="s">
        <v>7</v>
      </c>
      <c r="D3">
        <f>VLOOKUP(C3,MARCAS!A2:B36,2,FALSE)</f>
        <v>15</v>
      </c>
      <c r="E3" t="s">
        <v>39</v>
      </c>
      <c r="F3">
        <f>VLOOKUP(E3,UNIDADES!A2:B21,2,FALSE)</f>
        <v>1</v>
      </c>
      <c r="G3" t="s">
        <v>62</v>
      </c>
      <c r="H3">
        <f>VLOOKUP(G3,CATEGORIAS!A2:B28,2,FALSE)</f>
        <v>18</v>
      </c>
      <c r="I3" t="s">
        <v>86</v>
      </c>
      <c r="J3">
        <f>VLOOKUP(I3,TIPO_ARTICULOS!A2:B3,2,FALSE)</f>
        <v>1</v>
      </c>
      <c r="K3" t="s">
        <v>106</v>
      </c>
      <c r="L3">
        <v>2000</v>
      </c>
      <c r="M3">
        <v>3000</v>
      </c>
      <c r="N3">
        <v>3000</v>
      </c>
      <c r="O3">
        <v>3000</v>
      </c>
      <c r="P3">
        <v>20</v>
      </c>
      <c r="Q3">
        <v>1</v>
      </c>
      <c r="R3" s="5"/>
      <c r="S3" s="4"/>
      <c r="T3" s="4"/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E4" t="s">
        <v>105</v>
      </c>
      <c r="F4" t="e">
        <f>VLOOKUP(E4,UNIDADES!A2:B21,2,FALSE)</f>
        <v>#N/A</v>
      </c>
      <c r="G4" t="s">
        <v>62</v>
      </c>
      <c r="H4">
        <f>VLOOKUP(G4,CATEGORIAS!A2:B28,2,FALSE)</f>
        <v>18</v>
      </c>
      <c r="I4" t="s">
        <v>86</v>
      </c>
      <c r="J4">
        <f>VLOOKUP(I4,TIPO_ARTICULOS!A2:B3,2,FALSE)</f>
        <v>1</v>
      </c>
      <c r="K4" t="s">
        <v>107</v>
      </c>
      <c r="L4">
        <v>2000</v>
      </c>
      <c r="M4">
        <v>3000</v>
      </c>
      <c r="N4">
        <v>3000</v>
      </c>
      <c r="O4">
        <v>3000</v>
      </c>
      <c r="P4">
        <v>15</v>
      </c>
      <c r="Q4">
        <v>1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2021-07-27T16:40:25Z</dcterms:created>
  <dcterms:modified xsi:type="dcterms:W3CDTF">2021-07-27T17:20:24Z</dcterms:modified>
  <cp:category/>
</cp:coreProperties>
</file>