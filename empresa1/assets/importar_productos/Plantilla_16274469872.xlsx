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30BE9B6E-CA7B-45A1-B6EF-E86AB8AAFB1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F12" i="6"/>
  <c r="D12" i="6"/>
  <c r="B12" i="6"/>
  <c r="J11" i="6"/>
  <c r="H11" i="6"/>
  <c r="F11" i="6"/>
  <c r="D11" i="6"/>
  <c r="B11" i="6"/>
  <c r="J10" i="6"/>
  <c r="H10" i="6"/>
  <c r="F10" i="6"/>
  <c r="D10" i="6"/>
  <c r="B10" i="6"/>
  <c r="J9" i="6"/>
  <c r="H9" i="6"/>
  <c r="F9" i="6"/>
  <c r="D9" i="6"/>
  <c r="B9" i="6"/>
  <c r="J8" i="6"/>
  <c r="H8" i="6"/>
  <c r="F8" i="6"/>
  <c r="D8" i="6"/>
  <c r="B8" i="6"/>
  <c r="J7" i="6"/>
  <c r="H7" i="6"/>
  <c r="F7" i="6"/>
  <c r="D7" i="6"/>
  <c r="B7" i="6"/>
  <c r="J6" i="6"/>
  <c r="H6" i="6"/>
  <c r="F6" i="6"/>
  <c r="D6" i="6"/>
  <c r="B6" i="6"/>
  <c r="J5" i="6"/>
  <c r="H5" i="6"/>
  <c r="F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<sst xmlns="http://schemas.openxmlformats.org/spreadsheetml/2006/main" count="119" uniqueCount="106">
  <si>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</si>
  <si>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</si>
  <si>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</si>
  <si>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</si>
  <si>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</si>
  <si>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</si>
  <si>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</si>
  <si>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</si>
  <si>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</si>
  <si>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</si>
  <si>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</si>
  <si>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</si>
  <si>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</si>
  <si>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</si>
  <si>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</si>
  <si>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</si>
  <si>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</si>
  <si>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</si>
  <si>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</si>
  <si>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</si>
  <si>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</si>
  <si>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</si>
  <si>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</si>
  <si>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</si>
  <si>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</si>
  <si>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</si>
  <si>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</si>
  <si>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</si>
  <si>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</si>
  <si>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</si>
  <si>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</si>
  <si>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</si>
  <si>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</si>
  <si>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</si>
  <si>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</si>
  <si>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</si>
  <si>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</si>
  <si>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</si>
  <si>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</si>
  <si>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</si>
  <si>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</si>
  <si>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</si>
  <si>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</si>
  <si>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</si>
  <si>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</si>
  <si>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</si>
  <si>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</si>
  <si>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</si>
  <si>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</si>
  <si>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</si>
  <si>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</si>
  <si>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</si>
  <si>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</si>
  <si>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</si>
  <si>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</si>
  <si>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</si>
  <si>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</si>
  <si>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</si>
  <si>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</si>
  <si>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</si>
  <si>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</si>
  <si>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</si>
  <si>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</si>
  <si>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</si>
  <si>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</si>
  <si>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</si>
  <si>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</si>
  <si>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</si>
  <si>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</si>
  <si>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</si>
  <si>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</si>
  <si>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</si>
  <si>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</si>
  <si>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</si>
  <si>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</si>
  <si>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</si>
  <si>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</si>
  <si>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</si>
  <si>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</si>
  <si>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</si>
  <si>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</si>
  <si>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</si>
  <si>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</si>
  <si>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</si>
  <si>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</si>
  <si>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</si>
  <si>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</si>
  <si>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</si>
  <si>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</si>
  <si>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</si>
  <si>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</si>
  <si>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</si>
  <si>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</si>
  <si>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</si>
  <si>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</si>
  <si>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</si>
  <si>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</si>
  <si>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</si>
  <si>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</si>
  <si>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</si>
  <si>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</si>
  <si>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</si>
  <si>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</si>
  <si>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CEMENTO ANDINO</t>
  </si>
  <si>
    <t>CEME123</t>
  </si>
  <si>
    <t>GRAVADO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</si>
</sst>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Q11" sqref="Q11"/>
    </sheetView>
  </sheetViews>
  <sheetFormatPr baseColWidth="10" defaultColWidth="9.140625" defaultRowHeight="15" x14ac:dyDescent="0.25"/>
  <cols>
    <col min="1" max="1" width="20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0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</row>
    <row r="2" spans="1:20" x14ac:dyDescent="0.25">
      <c r="A2" t="s">
        <v>2</v>
      </c>
      <c r="B2">
        <f>VLOOKUP(A2,ALMACENES!A2:B3,2,FALSE)</f>
        <v>7</v>
      </c>
      <c r="C2" t="s">
        <v>7</v>
      </c>
      <c r="D2">
        <f>VLOOKUP(C2,MARCAS!A2:B36,2,FALSE)</f>
        <v>15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103</v>
      </c>
      <c r="L2">
        <v>20</v>
      </c>
      <c r="M2">
        <v>30</v>
      </c>
      <c r="N2">
        <v>30</v>
      </c>
      <c r="O2">
        <v>30</v>
      </c>
      <c r="P2">
        <v>20</v>
      </c>
      <c r="Q2">
        <v>1</v>
      </c>
      <c r="R2">
        <v>352121017478745</v>
      </c>
      <c r="S2" t="s">
        <v>104</v>
      </c>
      <c r="T2" t="s">
        <v>105</v>
      </c>
    </row>
    <row r="3" spans="1:20" x14ac:dyDescent="0.25">
      <c r="B3" t="e">
        <f>VLOOKUP(A3,ALMACENES!A2:B3,2,FALSE)</f>
        <v>#N/A</v>
      </c>
      <c r="D3" t="e">
        <f>VLOOKUP(C3,MARCAS!A2:B36,2,FALSE)</f>
        <v>#N/A</v>
      </c>
      <c r="F3" t="e">
        <f>VLOOKUP(E3,UNIDADES!A2:B21,2,FALSE)</f>
        <v>#N/A</v>
      </c>
      <c r="H3" t="e">
        <f>VLOOKUP(G3,CATEGORIAS!A2:B28,2,FALSE)</f>
        <v>#N/A</v>
      </c>
      <c r="J3" t="e">
        <f>VLOOKUP(I3,TIPO_ARTICULOS!A2:B3,2,FALSE)</f>
        <v>#N/A</v>
      </c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F4" t="e">
        <f>VLOOKUP(E4,UNIDADES!A2:B21,2,FALSE)</f>
        <v>#N/A</v>
      </c>
      <c r="H4" t="e">
        <f>VLOOKUP(G4,CATEGORIAS!A2:B28,2,FALSE)</f>
        <v>#N/A</v>
      </c>
      <c r="J4" t="e">
        <f>VLOOKUP(I4,TIPO_ARTICULOS!A2:B3,2,FALSE)</f>
        <v>#N/A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F5" t="e">
        <f>VLOOKUP(E5,UNIDADES!A2:B21,2,FALSE)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F6" t="e">
        <f>VLOOKUP(E6,UNIDADES!A2:B21,2,FALSE)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F7" t="e">
        <f>VLOOKUP(E7,UNIDADES!A2:B21,2,FALSE)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F8" t="e">
        <f>VLOOKUP(E8,UNIDADES!A2:B21,2,FALSE)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F9" t="e">
        <f>VLOOKUP(E9,UNIDADES!A2:B21,2,FALSE)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F10" t="e">
        <f>VLOOKUP(E10,UNIDADES!A2:B21,2,FALSE)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F11" t="e">
        <f>VLOOKUP(E11,UNIDADES!A2:B21,2,FALSE)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F12" t="e">
        <f>VLOOKUP(E12,UNIDADES!A2:B21,2,FALSE)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2021-07-28T04:36:20Z</dcterms:created>
  <dcterms:modified xsi:type="dcterms:W3CDTF">2021-07-28T04:40:24Z</dcterms:modified>
  <cp:category/>
</cp:coreProperties>
</file>